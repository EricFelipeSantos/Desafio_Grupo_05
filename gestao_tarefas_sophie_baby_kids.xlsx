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K:\Usuários\Eric\Downloads\"/>
    </mc:Choice>
  </mc:AlternateContent>
  <xr:revisionPtr revIDLastSave="0" documentId="13_ncr:1_{F2CC05B9-38AF-41FB-B78B-AC00BCCC2A3D}" xr6:coauthVersionLast="46" xr6:coauthVersionMax="46" xr10:uidLastSave="{00000000-0000-0000-0000-000000000000}"/>
  <bookViews>
    <workbookView xWindow="-120" yWindow="-120" windowWidth="20730" windowHeight="11040" tabRatio="500" xr2:uid="{00000000-000D-0000-FFFF-FFFF00000000}"/>
  </bookViews>
  <sheets>
    <sheet name="Gestão de Tarefas" sheetId="1" r:id="rId1"/>
    <sheet name="Legenda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2" i="1" l="1"/>
  <c r="K32" i="1"/>
  <c r="M32" i="1" s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</calcChain>
</file>

<file path=xl/sharedStrings.xml><?xml version="1.0" encoding="utf-8"?>
<sst xmlns="http://schemas.openxmlformats.org/spreadsheetml/2006/main" count="328" uniqueCount="146">
  <si>
    <t>LISTA DE TAREFAS — SOPHIE BABY KIDS</t>
  </si>
  <si>
    <t>Projeto 05 — Site com Portfólio de Produtos  |  Programa Capacita04  |  Jun–Jul 2026</t>
  </si>
  <si>
    <t>IDENTIFICAÇÃO</t>
  </si>
  <si>
    <t>PROJETO</t>
  </si>
  <si>
    <t>ENTREGÁVEL</t>
  </si>
  <si>
    <t>HORAS</t>
  </si>
  <si>
    <t>EM RISCO</t>
  </si>
  <si>
    <t>STATUS</t>
  </si>
  <si>
    <t>PRIORIDADE</t>
  </si>
  <si>
    <t>PRAZO</t>
  </si>
  <si>
    <t>FASE</t>
  </si>
  <si>
    <t>TAREFA</t>
  </si>
  <si>
    <t>DESCRIÇÃO</t>
  </si>
  <si>
    <t>ATRIBUÍDO A</t>
  </si>
  <si>
    <t>% CONCLUÍDO</t>
  </si>
  <si>
    <t>HRS ESTIMADAS</t>
  </si>
  <si>
    <t>HRS REAIS</t>
  </si>
  <si>
    <t>SALDO</t>
  </si>
  <si>
    <t>SITUAÇÃO</t>
  </si>
  <si>
    <t>Não</t>
  </si>
  <si>
    <t>Concluído</t>
  </si>
  <si>
    <t>Alta</t>
  </si>
  <si>
    <t>04/07</t>
  </si>
  <si>
    <t>1 – Requisitos</t>
  </si>
  <si>
    <t>Levantamento de requisitos</t>
  </si>
  <si>
    <t>Reunião com a cliente Sophie Baby Kids</t>
  </si>
  <si>
    <t>Equipe</t>
  </si>
  <si>
    <t>Ata de reunião</t>
  </si>
  <si>
    <t>100%</t>
  </si>
  <si>
    <t>Documentação de requisitos</t>
  </si>
  <si>
    <t>RF, RNF e Regras de Negócio documentados</t>
  </si>
  <si>
    <t>Doc. Requisitos</t>
  </si>
  <si>
    <t>Definição da arquitetura</t>
  </si>
  <si>
    <t>Escolha da estrutura do sistema</t>
  </si>
  <si>
    <t>Eric</t>
  </si>
  <si>
    <t>Diagrama de arquitetura</t>
  </si>
  <si>
    <t>Escolha de tecnologias</t>
  </si>
  <si>
    <t>Linguagens, frameworks e banco de dados</t>
  </si>
  <si>
    <t>Documento técnico</t>
  </si>
  <si>
    <t>Em andamento</t>
  </si>
  <si>
    <t>11/07</t>
  </si>
  <si>
    <t>2 – Design</t>
  </si>
  <si>
    <t>Wireframe das páginas</t>
  </si>
  <si>
    <t>Esboço das telas principais do site</t>
  </si>
  <si>
    <t>Maria Eduarda</t>
  </si>
  <si>
    <t>Wireframes</t>
  </si>
  <si>
    <t>50%</t>
  </si>
  <si>
    <t>A fazer</t>
  </si>
  <si>
    <t>Aplicar identidade visual</t>
  </si>
  <si>
    <t>Cores, tipografia e logo da Sophie Baby Kids</t>
  </si>
  <si>
    <t>Protótipo visual</t>
  </si>
  <si>
    <t>0%</t>
  </si>
  <si>
    <t>Validação do layout com cliente</t>
  </si>
  <si>
    <t>Aprovação do design pela responsável da loja</t>
  </si>
  <si>
    <t>Aprovação do cliente</t>
  </si>
  <si>
    <t>18/07</t>
  </si>
  <si>
    <t>3 – Front-end</t>
  </si>
  <si>
    <t>Página inicial (Home)</t>
  </si>
  <si>
    <t>Desenvolvimento da home com destaque de produtos</t>
  </si>
  <si>
    <t>Página Home</t>
  </si>
  <si>
    <t>Listagem de produtos por categoria</t>
  </si>
  <si>
    <t>Exibição dos produtos filtrados por categoria</t>
  </si>
  <si>
    <t>Página Catálogo</t>
  </si>
  <si>
    <t>Página de detalhes do produto</t>
  </si>
  <si>
    <t>Imagem, nome, descrição e preço do produto</t>
  </si>
  <si>
    <t>Página Produto</t>
  </si>
  <si>
    <t>Média</t>
  </si>
  <si>
    <t>Links de contato</t>
  </si>
  <si>
    <t>WhatsApp, Instagram e Facebook</t>
  </si>
  <si>
    <t>Rodapé / Contato</t>
  </si>
  <si>
    <t>Responsividade</t>
  </si>
  <si>
    <t>Adaptação para mobile, tablet e desktop</t>
  </si>
  <si>
    <t>Site responsivo</t>
  </si>
  <si>
    <t>22/07</t>
  </si>
  <si>
    <t>4 – Back-end</t>
  </si>
  <si>
    <t>Banco de dados de produtos</t>
  </si>
  <si>
    <t>Modelagem e criação das tabelas</t>
  </si>
  <si>
    <t>BD configurado</t>
  </si>
  <si>
    <t>Painel administrativo</t>
  </si>
  <si>
    <t>Interface de gerenciamento da loja</t>
  </si>
  <si>
    <t>Painel Admin</t>
  </si>
  <si>
    <t>Autenticação de administrador</t>
  </si>
  <si>
    <t>Login e senha para acesso restrito</t>
  </si>
  <si>
    <t>Sistema de login</t>
  </si>
  <si>
    <t>Cadastro de produtos</t>
  </si>
  <si>
    <t>Formulário para adicionar novos produtos</t>
  </si>
  <si>
    <t>Funcionalidade CRUD</t>
  </si>
  <si>
    <t>Edição de produtos</t>
  </si>
  <si>
    <t>Atualização de imagem, descrição e preço</t>
  </si>
  <si>
    <t>Remoção de produtos</t>
  </si>
  <si>
    <t>Exclusão de itens do catálogo</t>
  </si>
  <si>
    <t>Organização por categorias</t>
  </si>
  <si>
    <t>Filtro e agrupamento dos produtos</t>
  </si>
  <si>
    <t>Funcionalidade Categorias</t>
  </si>
  <si>
    <t>Sim</t>
  </si>
  <si>
    <t>25/07</t>
  </si>
  <si>
    <t>5 – Integração</t>
  </si>
  <si>
    <t>Integração front-end e back-end</t>
  </si>
  <si>
    <t>Conexão entre as camadas do sistema</t>
  </si>
  <si>
    <t>Sistema integrado</t>
  </si>
  <si>
    <t>Testes funcionais</t>
  </si>
  <si>
    <t>Validação de todas as funcionalidades</t>
  </si>
  <si>
    <t>Relatório de testes</t>
  </si>
  <si>
    <t>Testes de responsividade</t>
  </si>
  <si>
    <t>Verificação em diferentes dispositivos</t>
  </si>
  <si>
    <t>Correção de bugs</t>
  </si>
  <si>
    <t>Ajuste dos problemas encontrados nos testes</t>
  </si>
  <si>
    <t>Sistema corrigido</t>
  </si>
  <si>
    <t>28/07</t>
  </si>
  <si>
    <t>6 – Entrega</t>
  </si>
  <si>
    <t>Apresentação ao cliente</t>
  </si>
  <si>
    <t>Demonstração do site para validação final</t>
  </si>
  <si>
    <t>30/07</t>
  </si>
  <si>
    <t>Ajustes finais</t>
  </si>
  <si>
    <t>Correções solicitadas na validação</t>
  </si>
  <si>
    <t>Site ajustado</t>
  </si>
  <si>
    <t>31/07</t>
  </si>
  <si>
    <t>Deploy / publicação do site</t>
  </si>
  <si>
    <t>Colocar o site no ar</t>
  </si>
  <si>
    <t>Site publicado</t>
  </si>
  <si>
    <t>Entrega da documentação final</t>
  </si>
  <si>
    <t>Documentação técnica e de gestão</t>
  </si>
  <si>
    <t>Documentação entregue</t>
  </si>
  <si>
    <t>TOTAIS</t>
  </si>
  <si>
    <t>LEGENDA DE STATUS E PRIORIDADES</t>
  </si>
  <si>
    <t>Tipo</t>
  </si>
  <si>
    <t>Valor</t>
  </si>
  <si>
    <t>Significado</t>
  </si>
  <si>
    <t>Status</t>
  </si>
  <si>
    <t>Tarefa finalizada e aprovada</t>
  </si>
  <si>
    <t>Tarefa em execução</t>
  </si>
  <si>
    <t>Em revisão</t>
  </si>
  <si>
    <t>Tarefa concluída, aguardando validação</t>
  </si>
  <si>
    <t>Tarefa ainda não iniciada</t>
  </si>
  <si>
    <t>Atrasado</t>
  </si>
  <si>
    <t>Tarefa fora do prazo</t>
  </si>
  <si>
    <t>Bloqueado</t>
  </si>
  <si>
    <t>Tarefa impedida por dependência externa</t>
  </si>
  <si>
    <t>Prioridade</t>
  </si>
  <si>
    <t>Deve ser executada imediatamente</t>
  </si>
  <si>
    <t>Importante, pode aguardar as tarefas de alta prioridade</t>
  </si>
  <si>
    <t>Baixa</t>
  </si>
  <si>
    <t>Pode ser realizada quando houver disponibilidade</t>
  </si>
  <si>
    <t>Em Risco</t>
  </si>
  <si>
    <t>Tarefa com risco identificado de atraso ou bloqueio</t>
  </si>
  <si>
    <t>Nenhum risco identificado no momento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</si>
</sst>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9"/>
      <color rgb="FF1B5E2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E65100"/>
      <name val="Arial"/>
      <charset val="1"/>
    </font>
    <font>
      <b/>
      <sz val="9"/>
      <color rgb="FF0D47A1"/>
      <name val="Arial"/>
      <charset val="1"/>
    </font>
    <font>
      <sz val="10"/>
      <color rgb="FFB71C1C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color rgb="FF1B5E20"/>
      <name val="Arial"/>
      <charset val="1"/>
    </font>
    <font>
      <b/>
      <sz val="10"/>
      <color rgb="FFE65100"/>
      <name val="Arial"/>
      <charset val="1"/>
    </font>
    <font>
      <b/>
      <sz val="10"/>
      <color rgb="FF4A148C"/>
      <name val="Arial"/>
      <charset val="1"/>
    </font>
    <font>
      <b/>
      <sz val="10"/>
      <color rgb="FF0D47A1"/>
      <name val="Arial"/>
      <charset val="1"/>
    </font>
    <font>
      <b/>
      <sz val="10"/>
      <color rgb="FFB71C1C"/>
      <name val="Arial"/>
      <charset val="1"/>
    </font>
    <font>
      <b/>
      <sz val="16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808080"/>
      <rgbColor rgb="FF9999FF"/>
      <rgbColor rgb="FFD32F2F"/>
      <rgbColor rgb="FFFFF9C4"/>
      <rgbColor rgb="FFE3F2FD"/>
      <rgbColor rgb="FF4A148C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FF3E0"/>
      <rgbColor rgb="FFFFEBEE"/>
      <rgbColor rgb="FFFF99CC"/>
      <rgbColor rgb="FFCC99FF"/>
      <rgbColor rgb="FFFFCDD2"/>
      <rgbColor rgb="FF1976D2"/>
      <rgbColor rgb="FF33CCCC"/>
      <rgbColor rgb="FF99CC00"/>
      <rgbColor rgb="FFFBC02D"/>
      <rgbColor rgb="FFFF9900"/>
      <rgbColor rgb="FFE65100"/>
      <rgbColor rgb="FF666699"/>
      <rgbColor rgb="FF969696"/>
      <rgbColor rgb="FF0D47A1"/>
      <rgbColor rgb="FF388E3C"/>
      <rgbColor rgb="FF003300"/>
      <rgbColor rgb="FF333300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pane ySplit="4" topLeftCell="A5" activePane="bottomLeft" state="frozen"/>
      <selection pane="bottomLeft" activeCell="H28" sqref="H28"/>
    </sheetView>
  </sheetViews>
  <sheetFormatPr defaultColWidth="8.7109375" defaultRowHeight="15" x14ac:dyDescent="0.25"/>
  <cols>
    <col min="1" max="1" width="9" customWidth="1"/>
    <col min="2" max="2" width="14" customWidth="1"/>
    <col min="3" max="3" width="11" customWidth="1"/>
    <col min="4" max="4" width="10" customWidth="1"/>
    <col min="5" max="5" width="18" customWidth="1"/>
    <col min="6" max="6" width="28" customWidth="1"/>
    <col min="7" max="7" width="38" customWidth="1"/>
    <col min="8" max="8" width="16" customWidth="1"/>
    <col min="9" max="9" width="24" customWidth="1"/>
    <col min="10" max="10" width="13" customWidth="1"/>
    <col min="11" max="11" width="14" customWidth="1"/>
    <col min="12" max="12" width="11" customWidth="1"/>
    <col min="13" max="13" width="9" customWidth="1"/>
    <col min="14" max="14" width="13" customWidth="1"/>
  </cols>
  <sheetData>
    <row r="1" spans="1:14" ht="36" customHeight="1" x14ac:dyDescent="0.25">
      <c r="A1" s="2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.5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8" customHeight="1" x14ac:dyDescent="0.25">
      <c r="A3" s="27" t="s">
        <v>2</v>
      </c>
      <c r="B3" s="27"/>
      <c r="C3" s="27"/>
      <c r="D3" s="27"/>
      <c r="E3" s="27" t="s">
        <v>3</v>
      </c>
      <c r="F3" s="27"/>
      <c r="G3" s="27"/>
      <c r="H3" s="27"/>
      <c r="I3" s="27" t="s">
        <v>4</v>
      </c>
      <c r="J3" s="27"/>
      <c r="K3" s="27" t="s">
        <v>5</v>
      </c>
      <c r="L3" s="27"/>
      <c r="M3" s="27"/>
      <c r="N3" s="27"/>
    </row>
    <row r="4" spans="1:14" ht="21.75" customHeight="1" x14ac:dyDescent="0.25">
      <c r="A4" s="28" t="s">
        <v>6</v>
      </c>
      <c r="B4" s="28" t="s">
        <v>7</v>
      </c>
      <c r="C4" s="28" t="s">
        <v>8</v>
      </c>
      <c r="D4" s="28" t="s">
        <v>9</v>
      </c>
      <c r="E4" s="28" t="s">
        <v>10</v>
      </c>
      <c r="F4" s="28" t="s">
        <v>11</v>
      </c>
      <c r="G4" s="28" t="s">
        <v>12</v>
      </c>
      <c r="H4" s="28" t="s">
        <v>13</v>
      </c>
      <c r="I4" s="28" t="s">
        <v>4</v>
      </c>
      <c r="J4" s="28" t="s">
        <v>14</v>
      </c>
      <c r="K4" s="28" t="s">
        <v>15</v>
      </c>
      <c r="L4" s="28" t="s">
        <v>16</v>
      </c>
      <c r="M4" s="28" t="s">
        <v>17</v>
      </c>
      <c r="N4" s="28" t="s">
        <v>18</v>
      </c>
    </row>
    <row r="5" spans="1:14" ht="21.75" customHeight="1" x14ac:dyDescent="0.25">
      <c r="A5" s="4" t="s">
        <v>19</v>
      </c>
      <c r="B5" s="5" t="s">
        <v>20</v>
      </c>
      <c r="C5" s="29" t="s">
        <v>21</v>
      </c>
      <c r="D5" s="4" t="s">
        <v>22</v>
      </c>
      <c r="E5" s="6" t="s">
        <v>23</v>
      </c>
      <c r="F5" s="7" t="s">
        <v>24</v>
      </c>
      <c r="G5" s="8" t="s">
        <v>25</v>
      </c>
      <c r="H5" s="9" t="s">
        <v>26</v>
      </c>
      <c r="I5" s="8" t="s">
        <v>27</v>
      </c>
      <c r="J5" s="10" t="s">
        <v>28</v>
      </c>
      <c r="K5" s="4">
        <v>4</v>
      </c>
      <c r="L5" s="4">
        <v>4</v>
      </c>
      <c r="M5" s="11">
        <f t="shared" ref="M5:M32" si="0">K5-L5</f>
        <v>0</v>
      </c>
      <c r="N5" s="12" t="str">
        <f t="shared" ref="N5:N31" si="1">IF(M5&lt;0,"⚠ Excedido",IF(M5=0,"✓ No prazo","▸ Dentro"))</f>
        <v>✓ No prazo</v>
      </c>
    </row>
    <row r="6" spans="1:14" ht="21.75" customHeight="1" x14ac:dyDescent="0.25">
      <c r="A6" s="4" t="s">
        <v>19</v>
      </c>
      <c r="B6" s="5" t="s">
        <v>20</v>
      </c>
      <c r="C6" s="29" t="s">
        <v>21</v>
      </c>
      <c r="D6" s="4" t="s">
        <v>22</v>
      </c>
      <c r="E6" s="6" t="s">
        <v>23</v>
      </c>
      <c r="F6" s="7" t="s">
        <v>29</v>
      </c>
      <c r="G6" s="8" t="s">
        <v>30</v>
      </c>
      <c r="H6" s="9" t="s">
        <v>26</v>
      </c>
      <c r="I6" s="8" t="s">
        <v>31</v>
      </c>
      <c r="J6" s="10" t="s">
        <v>28</v>
      </c>
      <c r="K6" s="4">
        <v>3</v>
      </c>
      <c r="L6" s="4">
        <v>3</v>
      </c>
      <c r="M6" s="11">
        <f t="shared" si="0"/>
        <v>0</v>
      </c>
      <c r="N6" s="12" t="str">
        <f t="shared" si="1"/>
        <v>✓ No prazo</v>
      </c>
    </row>
    <row r="7" spans="1:14" ht="21.75" customHeight="1" x14ac:dyDescent="0.25">
      <c r="A7" s="4" t="s">
        <v>19</v>
      </c>
      <c r="B7" s="5" t="s">
        <v>20</v>
      </c>
      <c r="C7" s="29" t="s">
        <v>21</v>
      </c>
      <c r="D7" s="4" t="s">
        <v>22</v>
      </c>
      <c r="E7" s="6" t="s">
        <v>23</v>
      </c>
      <c r="F7" s="7" t="s">
        <v>32</v>
      </c>
      <c r="G7" s="8" t="s">
        <v>33</v>
      </c>
      <c r="H7" s="9" t="s">
        <v>34</v>
      </c>
      <c r="I7" s="8" t="s">
        <v>35</v>
      </c>
      <c r="J7" s="10" t="s">
        <v>28</v>
      </c>
      <c r="K7" s="4">
        <v>2</v>
      </c>
      <c r="L7" s="4">
        <v>2</v>
      </c>
      <c r="M7" s="11">
        <f t="shared" si="0"/>
        <v>0</v>
      </c>
      <c r="N7" s="12" t="str">
        <f t="shared" si="1"/>
        <v>✓ No prazo</v>
      </c>
    </row>
    <row r="8" spans="1:14" ht="21.75" customHeight="1" x14ac:dyDescent="0.25">
      <c r="A8" s="4" t="s">
        <v>19</v>
      </c>
      <c r="B8" s="5" t="s">
        <v>20</v>
      </c>
      <c r="C8" s="29" t="s">
        <v>21</v>
      </c>
      <c r="D8" s="4" t="s">
        <v>22</v>
      </c>
      <c r="E8" s="6" t="s">
        <v>23</v>
      </c>
      <c r="F8" s="7" t="s">
        <v>36</v>
      </c>
      <c r="G8" s="8" t="s">
        <v>37</v>
      </c>
      <c r="H8" s="9" t="s">
        <v>26</v>
      </c>
      <c r="I8" s="8" t="s">
        <v>38</v>
      </c>
      <c r="J8" s="10" t="s">
        <v>28</v>
      </c>
      <c r="K8" s="4">
        <v>2</v>
      </c>
      <c r="L8" s="4">
        <v>2</v>
      </c>
      <c r="M8" s="11">
        <f t="shared" si="0"/>
        <v>0</v>
      </c>
      <c r="N8" s="12" t="str">
        <f t="shared" si="1"/>
        <v>✓ No prazo</v>
      </c>
    </row>
    <row r="9" spans="1:14" ht="21.75" customHeight="1" x14ac:dyDescent="0.25">
      <c r="A9" s="4" t="s">
        <v>19</v>
      </c>
      <c r="B9" s="13" t="s">
        <v>39</v>
      </c>
      <c r="C9" s="29" t="s">
        <v>21</v>
      </c>
      <c r="D9" s="4" t="s">
        <v>40</v>
      </c>
      <c r="E9" s="6" t="s">
        <v>41</v>
      </c>
      <c r="F9" s="7" t="s">
        <v>42</v>
      </c>
      <c r="G9" s="8" t="s">
        <v>43</v>
      </c>
      <c r="H9" s="9" t="s">
        <v>44</v>
      </c>
      <c r="I9" s="8" t="s">
        <v>45</v>
      </c>
      <c r="J9" s="4" t="s">
        <v>46</v>
      </c>
      <c r="K9" s="4">
        <v>6</v>
      </c>
      <c r="L9" s="4">
        <v>3</v>
      </c>
      <c r="M9" s="11">
        <f t="shared" si="0"/>
        <v>3</v>
      </c>
      <c r="N9" s="12" t="str">
        <f t="shared" si="1"/>
        <v>▸ Dentro</v>
      </c>
    </row>
    <row r="10" spans="1:14" ht="21.75" customHeight="1" x14ac:dyDescent="0.25">
      <c r="A10" s="4" t="s">
        <v>19</v>
      </c>
      <c r="B10" s="14" t="s">
        <v>47</v>
      </c>
      <c r="C10" s="29" t="s">
        <v>21</v>
      </c>
      <c r="D10" s="4" t="s">
        <v>40</v>
      </c>
      <c r="E10" s="6" t="s">
        <v>41</v>
      </c>
      <c r="F10" s="7" t="s">
        <v>48</v>
      </c>
      <c r="G10" s="8" t="s">
        <v>49</v>
      </c>
      <c r="H10" s="9" t="s">
        <v>44</v>
      </c>
      <c r="I10" s="8" t="s">
        <v>50</v>
      </c>
      <c r="J10" s="4" t="s">
        <v>51</v>
      </c>
      <c r="K10" s="4">
        <v>4</v>
      </c>
      <c r="L10" s="4">
        <v>0</v>
      </c>
      <c r="M10" s="11">
        <f t="shared" si="0"/>
        <v>4</v>
      </c>
      <c r="N10" s="12" t="str">
        <f t="shared" si="1"/>
        <v>▸ Dentro</v>
      </c>
    </row>
    <row r="11" spans="1:14" ht="21.75" customHeight="1" x14ac:dyDescent="0.25">
      <c r="A11" s="4" t="s">
        <v>19</v>
      </c>
      <c r="B11" s="14" t="s">
        <v>47</v>
      </c>
      <c r="C11" s="29" t="s">
        <v>21</v>
      </c>
      <c r="D11" s="4" t="s">
        <v>40</v>
      </c>
      <c r="E11" s="6" t="s">
        <v>41</v>
      </c>
      <c r="F11" s="7" t="s">
        <v>52</v>
      </c>
      <c r="G11" s="8" t="s">
        <v>53</v>
      </c>
      <c r="H11" s="9" t="s">
        <v>26</v>
      </c>
      <c r="I11" s="8" t="s">
        <v>54</v>
      </c>
      <c r="J11" s="4" t="s">
        <v>51</v>
      </c>
      <c r="K11" s="4">
        <v>2</v>
      </c>
      <c r="L11" s="4">
        <v>0</v>
      </c>
      <c r="M11" s="11">
        <f t="shared" si="0"/>
        <v>2</v>
      </c>
      <c r="N11" s="12" t="str">
        <f t="shared" si="1"/>
        <v>▸ Dentro</v>
      </c>
    </row>
    <row r="12" spans="1:14" ht="21.75" customHeight="1" x14ac:dyDescent="0.25">
      <c r="A12" s="4" t="s">
        <v>19</v>
      </c>
      <c r="B12" s="14" t="s">
        <v>47</v>
      </c>
      <c r="C12" s="29" t="s">
        <v>21</v>
      </c>
      <c r="D12" s="4" t="s">
        <v>55</v>
      </c>
      <c r="E12" s="6" t="s">
        <v>56</v>
      </c>
      <c r="F12" s="7" t="s">
        <v>57</v>
      </c>
      <c r="G12" s="8" t="s">
        <v>58</v>
      </c>
      <c r="H12" s="32" t="s">
        <v>44</v>
      </c>
      <c r="I12" s="8" t="s">
        <v>59</v>
      </c>
      <c r="J12" s="4" t="s">
        <v>51</v>
      </c>
      <c r="K12" s="4">
        <v>8</v>
      </c>
      <c r="L12" s="4">
        <v>0</v>
      </c>
      <c r="M12" s="11">
        <f t="shared" si="0"/>
        <v>8</v>
      </c>
      <c r="N12" s="12" t="str">
        <f t="shared" si="1"/>
        <v>▸ Dentro</v>
      </c>
    </row>
    <row r="13" spans="1:14" ht="21.75" customHeight="1" x14ac:dyDescent="0.25">
      <c r="A13" s="4" t="s">
        <v>19</v>
      </c>
      <c r="B13" s="14" t="s">
        <v>47</v>
      </c>
      <c r="C13" s="29" t="s">
        <v>21</v>
      </c>
      <c r="D13" s="4" t="s">
        <v>55</v>
      </c>
      <c r="E13" s="6" t="s">
        <v>56</v>
      </c>
      <c r="F13" s="7" t="s">
        <v>60</v>
      </c>
      <c r="G13" s="8" t="s">
        <v>61</v>
      </c>
      <c r="H13" s="32" t="s">
        <v>44</v>
      </c>
      <c r="I13" s="8" t="s">
        <v>62</v>
      </c>
      <c r="J13" s="4" t="s">
        <v>51</v>
      </c>
      <c r="K13" s="4">
        <v>6</v>
      </c>
      <c r="L13" s="4">
        <v>0</v>
      </c>
      <c r="M13" s="11">
        <f t="shared" si="0"/>
        <v>6</v>
      </c>
      <c r="N13" s="12" t="str">
        <f t="shared" si="1"/>
        <v>▸ Dentro</v>
      </c>
    </row>
    <row r="14" spans="1:14" ht="21.75" customHeight="1" x14ac:dyDescent="0.25">
      <c r="A14" s="4" t="s">
        <v>19</v>
      </c>
      <c r="B14" s="14" t="s">
        <v>47</v>
      </c>
      <c r="C14" s="29" t="s">
        <v>21</v>
      </c>
      <c r="D14" s="4" t="s">
        <v>55</v>
      </c>
      <c r="E14" s="6" t="s">
        <v>56</v>
      </c>
      <c r="F14" s="7" t="s">
        <v>63</v>
      </c>
      <c r="G14" s="8" t="s">
        <v>64</v>
      </c>
      <c r="H14" s="32" t="s">
        <v>44</v>
      </c>
      <c r="I14" s="8" t="s">
        <v>65</v>
      </c>
      <c r="J14" s="4" t="s">
        <v>51</v>
      </c>
      <c r="K14" s="4">
        <v>5</v>
      </c>
      <c r="L14" s="4">
        <v>0</v>
      </c>
      <c r="M14" s="11">
        <f t="shared" si="0"/>
        <v>5</v>
      </c>
      <c r="N14" s="12" t="str">
        <f t="shared" si="1"/>
        <v>▸ Dentro</v>
      </c>
    </row>
    <row r="15" spans="1:14" ht="21.75" customHeight="1" x14ac:dyDescent="0.25">
      <c r="A15" s="4" t="s">
        <v>19</v>
      </c>
      <c r="B15" s="14" t="s">
        <v>47</v>
      </c>
      <c r="C15" s="15" t="s">
        <v>66</v>
      </c>
      <c r="D15" s="4" t="s">
        <v>55</v>
      </c>
      <c r="E15" s="6" t="s">
        <v>56</v>
      </c>
      <c r="F15" s="7" t="s">
        <v>67</v>
      </c>
      <c r="G15" s="8" t="s">
        <v>68</v>
      </c>
      <c r="H15" s="32" t="s">
        <v>44</v>
      </c>
      <c r="I15" s="8" t="s">
        <v>69</v>
      </c>
      <c r="J15" s="4" t="s">
        <v>51</v>
      </c>
      <c r="K15" s="4">
        <v>3</v>
      </c>
      <c r="L15" s="4">
        <v>0</v>
      </c>
      <c r="M15" s="11">
        <f t="shared" si="0"/>
        <v>3</v>
      </c>
      <c r="N15" s="12" t="str">
        <f t="shared" si="1"/>
        <v>▸ Dentro</v>
      </c>
    </row>
    <row r="16" spans="1:14" ht="21.75" customHeight="1" x14ac:dyDescent="0.25">
      <c r="A16" s="4" t="s">
        <v>19</v>
      </c>
      <c r="B16" s="14" t="s">
        <v>47</v>
      </c>
      <c r="C16" s="29" t="s">
        <v>21</v>
      </c>
      <c r="D16" s="4" t="s">
        <v>55</v>
      </c>
      <c r="E16" s="6" t="s">
        <v>56</v>
      </c>
      <c r="F16" s="7" t="s">
        <v>70</v>
      </c>
      <c r="G16" s="8" t="s">
        <v>71</v>
      </c>
      <c r="H16" s="32" t="s">
        <v>44</v>
      </c>
      <c r="I16" s="8" t="s">
        <v>72</v>
      </c>
      <c r="J16" s="4" t="s">
        <v>51</v>
      </c>
      <c r="K16" s="4">
        <v>4</v>
      </c>
      <c r="L16" s="4">
        <v>0</v>
      </c>
      <c r="M16" s="11">
        <f t="shared" si="0"/>
        <v>4</v>
      </c>
      <c r="N16" s="12" t="str">
        <f t="shared" si="1"/>
        <v>▸ Dentro</v>
      </c>
    </row>
    <row r="17" spans="1:14" ht="21.75" customHeight="1" x14ac:dyDescent="0.25">
      <c r="A17" s="4" t="s">
        <v>19</v>
      </c>
      <c r="B17" s="14" t="s">
        <v>47</v>
      </c>
      <c r="C17" s="29" t="s">
        <v>21</v>
      </c>
      <c r="D17" s="4" t="s">
        <v>73</v>
      </c>
      <c r="E17" s="6" t="s">
        <v>74</v>
      </c>
      <c r="F17" s="7" t="s">
        <v>75</v>
      </c>
      <c r="G17" s="8" t="s">
        <v>76</v>
      </c>
      <c r="H17" s="32" t="s">
        <v>34</v>
      </c>
      <c r="I17" s="8" t="s">
        <v>77</v>
      </c>
      <c r="J17" s="4" t="s">
        <v>51</v>
      </c>
      <c r="K17" s="4">
        <v>5</v>
      </c>
      <c r="L17" s="4">
        <v>0</v>
      </c>
      <c r="M17" s="11">
        <f t="shared" si="0"/>
        <v>5</v>
      </c>
      <c r="N17" s="12" t="str">
        <f t="shared" si="1"/>
        <v>▸ Dentro</v>
      </c>
    </row>
    <row r="18" spans="1:14" ht="21.75" customHeight="1" x14ac:dyDescent="0.25">
      <c r="A18" s="4" t="s">
        <v>19</v>
      </c>
      <c r="B18" s="14" t="s">
        <v>47</v>
      </c>
      <c r="C18" s="29" t="s">
        <v>21</v>
      </c>
      <c r="D18" s="4" t="s">
        <v>73</v>
      </c>
      <c r="E18" s="6" t="s">
        <v>74</v>
      </c>
      <c r="F18" s="7" t="s">
        <v>78</v>
      </c>
      <c r="G18" s="8" t="s">
        <v>79</v>
      </c>
      <c r="H18" s="32" t="s">
        <v>34</v>
      </c>
      <c r="I18" s="8" t="s">
        <v>80</v>
      </c>
      <c r="J18" s="4" t="s">
        <v>51</v>
      </c>
      <c r="K18" s="4">
        <v>8</v>
      </c>
      <c r="L18" s="4">
        <v>0</v>
      </c>
      <c r="M18" s="11">
        <f t="shared" si="0"/>
        <v>8</v>
      </c>
      <c r="N18" s="12" t="str">
        <f t="shared" si="1"/>
        <v>▸ Dentro</v>
      </c>
    </row>
    <row r="19" spans="1:14" ht="21.75" customHeight="1" x14ac:dyDescent="0.25">
      <c r="A19" s="4" t="s">
        <v>19</v>
      </c>
      <c r="B19" s="14" t="s">
        <v>47</v>
      </c>
      <c r="C19" s="29" t="s">
        <v>21</v>
      </c>
      <c r="D19" s="4" t="s">
        <v>73</v>
      </c>
      <c r="E19" s="6" t="s">
        <v>74</v>
      </c>
      <c r="F19" s="7" t="s">
        <v>81</v>
      </c>
      <c r="G19" s="8" t="s">
        <v>82</v>
      </c>
      <c r="H19" s="32" t="s">
        <v>34</v>
      </c>
      <c r="I19" s="8" t="s">
        <v>83</v>
      </c>
      <c r="J19" s="4" t="s">
        <v>51</v>
      </c>
      <c r="K19" s="4">
        <v>4</v>
      </c>
      <c r="L19" s="4">
        <v>0</v>
      </c>
      <c r="M19" s="11">
        <f t="shared" si="0"/>
        <v>4</v>
      </c>
      <c r="N19" s="12" t="str">
        <f t="shared" si="1"/>
        <v>▸ Dentro</v>
      </c>
    </row>
    <row r="20" spans="1:14" ht="21.75" customHeight="1" x14ac:dyDescent="0.25">
      <c r="A20" s="4" t="s">
        <v>19</v>
      </c>
      <c r="B20" s="14" t="s">
        <v>47</v>
      </c>
      <c r="C20" s="29" t="s">
        <v>21</v>
      </c>
      <c r="D20" s="4" t="s">
        <v>73</v>
      </c>
      <c r="E20" s="6" t="s">
        <v>74</v>
      </c>
      <c r="F20" s="7" t="s">
        <v>84</v>
      </c>
      <c r="G20" s="8" t="s">
        <v>85</v>
      </c>
      <c r="H20" s="32" t="s">
        <v>34</v>
      </c>
      <c r="I20" s="8" t="s">
        <v>86</v>
      </c>
      <c r="J20" s="4" t="s">
        <v>51</v>
      </c>
      <c r="K20" s="4">
        <v>4</v>
      </c>
      <c r="L20" s="4">
        <v>0</v>
      </c>
      <c r="M20" s="11">
        <f t="shared" si="0"/>
        <v>4</v>
      </c>
      <c r="N20" s="12" t="str">
        <f t="shared" si="1"/>
        <v>▸ Dentro</v>
      </c>
    </row>
    <row r="21" spans="1:14" ht="21.75" customHeight="1" x14ac:dyDescent="0.25">
      <c r="A21" s="4" t="s">
        <v>19</v>
      </c>
      <c r="B21" s="14" t="s">
        <v>47</v>
      </c>
      <c r="C21" s="29" t="s">
        <v>21</v>
      </c>
      <c r="D21" s="4" t="s">
        <v>73</v>
      </c>
      <c r="E21" s="6" t="s">
        <v>74</v>
      </c>
      <c r="F21" s="7" t="s">
        <v>87</v>
      </c>
      <c r="G21" s="8" t="s">
        <v>88</v>
      </c>
      <c r="H21" s="32" t="s">
        <v>34</v>
      </c>
      <c r="I21" s="8" t="s">
        <v>86</v>
      </c>
      <c r="J21" s="4" t="s">
        <v>51</v>
      </c>
      <c r="K21" s="4">
        <v>3</v>
      </c>
      <c r="L21" s="4">
        <v>0</v>
      </c>
      <c r="M21" s="11">
        <f t="shared" si="0"/>
        <v>3</v>
      </c>
      <c r="N21" s="12" t="str">
        <f t="shared" si="1"/>
        <v>▸ Dentro</v>
      </c>
    </row>
    <row r="22" spans="1:14" ht="21.75" customHeight="1" x14ac:dyDescent="0.25">
      <c r="A22" s="4" t="s">
        <v>19</v>
      </c>
      <c r="B22" s="14" t="s">
        <v>47</v>
      </c>
      <c r="C22" s="29" t="s">
        <v>21</v>
      </c>
      <c r="D22" s="4" t="s">
        <v>73</v>
      </c>
      <c r="E22" s="6" t="s">
        <v>74</v>
      </c>
      <c r="F22" s="7" t="s">
        <v>89</v>
      </c>
      <c r="G22" s="8" t="s">
        <v>90</v>
      </c>
      <c r="H22" s="32" t="s">
        <v>34</v>
      </c>
      <c r="I22" s="8" t="s">
        <v>86</v>
      </c>
      <c r="J22" s="4" t="s">
        <v>51</v>
      </c>
      <c r="K22" s="4">
        <v>2</v>
      </c>
      <c r="L22" s="4">
        <v>0</v>
      </c>
      <c r="M22" s="11">
        <f t="shared" si="0"/>
        <v>2</v>
      </c>
      <c r="N22" s="12" t="str">
        <f t="shared" si="1"/>
        <v>▸ Dentro</v>
      </c>
    </row>
    <row r="23" spans="1:14" ht="21.75" customHeight="1" x14ac:dyDescent="0.25">
      <c r="A23" s="4" t="s">
        <v>19</v>
      </c>
      <c r="B23" s="14" t="s">
        <v>47</v>
      </c>
      <c r="C23" s="29" t="s">
        <v>21</v>
      </c>
      <c r="D23" s="4" t="s">
        <v>73</v>
      </c>
      <c r="E23" s="6" t="s">
        <v>74</v>
      </c>
      <c r="F23" s="7" t="s">
        <v>91</v>
      </c>
      <c r="G23" s="8" t="s">
        <v>92</v>
      </c>
      <c r="H23" s="32" t="s">
        <v>34</v>
      </c>
      <c r="I23" s="8" t="s">
        <v>93</v>
      </c>
      <c r="J23" s="4" t="s">
        <v>51</v>
      </c>
      <c r="K23" s="4">
        <v>3</v>
      </c>
      <c r="L23" s="4">
        <v>0</v>
      </c>
      <c r="M23" s="11">
        <f t="shared" si="0"/>
        <v>3</v>
      </c>
      <c r="N23" s="12" t="str">
        <f t="shared" si="1"/>
        <v>▸ Dentro</v>
      </c>
    </row>
    <row r="24" spans="1:14" ht="21.75" customHeight="1" x14ac:dyDescent="0.25">
      <c r="A24" s="16" t="s">
        <v>94</v>
      </c>
      <c r="B24" s="14" t="s">
        <v>47</v>
      </c>
      <c r="C24" s="29" t="s">
        <v>21</v>
      </c>
      <c r="D24" s="4" t="s">
        <v>95</v>
      </c>
      <c r="E24" s="6" t="s">
        <v>96</v>
      </c>
      <c r="F24" s="7" t="s">
        <v>97</v>
      </c>
      <c r="G24" s="8" t="s">
        <v>98</v>
      </c>
      <c r="H24" s="9" t="s">
        <v>26</v>
      </c>
      <c r="I24" s="8" t="s">
        <v>99</v>
      </c>
      <c r="J24" s="4" t="s">
        <v>51</v>
      </c>
      <c r="K24" s="4">
        <v>6</v>
      </c>
      <c r="L24" s="4">
        <v>0</v>
      </c>
      <c r="M24" s="11">
        <f t="shared" si="0"/>
        <v>6</v>
      </c>
      <c r="N24" s="12" t="str">
        <f t="shared" si="1"/>
        <v>▸ Dentro</v>
      </c>
    </row>
    <row r="25" spans="1:14" ht="21.75" customHeight="1" x14ac:dyDescent="0.25">
      <c r="A25" s="4" t="s">
        <v>19</v>
      </c>
      <c r="B25" s="14" t="s">
        <v>47</v>
      </c>
      <c r="C25" s="29" t="s">
        <v>21</v>
      </c>
      <c r="D25" s="4" t="s">
        <v>95</v>
      </c>
      <c r="E25" s="6" t="s">
        <v>96</v>
      </c>
      <c r="F25" s="7" t="s">
        <v>100</v>
      </c>
      <c r="G25" s="8" t="s">
        <v>101</v>
      </c>
      <c r="H25" s="9" t="s">
        <v>26</v>
      </c>
      <c r="I25" s="8" t="s">
        <v>102</v>
      </c>
      <c r="J25" s="4" t="s">
        <v>51</v>
      </c>
      <c r="K25" s="4">
        <v>5</v>
      </c>
      <c r="L25" s="4">
        <v>0</v>
      </c>
      <c r="M25" s="11">
        <f t="shared" si="0"/>
        <v>5</v>
      </c>
      <c r="N25" s="12" t="str">
        <f t="shared" si="1"/>
        <v>▸ Dentro</v>
      </c>
    </row>
    <row r="26" spans="1:14" ht="21.75" customHeight="1" x14ac:dyDescent="0.25">
      <c r="A26" s="4" t="s">
        <v>19</v>
      </c>
      <c r="B26" s="14" t="s">
        <v>47</v>
      </c>
      <c r="C26" s="29" t="s">
        <v>21</v>
      </c>
      <c r="D26" s="4" t="s">
        <v>95</v>
      </c>
      <c r="E26" s="6" t="s">
        <v>96</v>
      </c>
      <c r="F26" s="7" t="s">
        <v>103</v>
      </c>
      <c r="G26" s="8" t="s">
        <v>104</v>
      </c>
      <c r="H26" s="9" t="s">
        <v>26</v>
      </c>
      <c r="I26" s="8" t="s">
        <v>102</v>
      </c>
      <c r="J26" s="4" t="s">
        <v>51</v>
      </c>
      <c r="K26" s="4">
        <v>3</v>
      </c>
      <c r="L26" s="4">
        <v>0</v>
      </c>
      <c r="M26" s="11">
        <f t="shared" si="0"/>
        <v>3</v>
      </c>
      <c r="N26" s="12" t="str">
        <f t="shared" si="1"/>
        <v>▸ Dentro</v>
      </c>
    </row>
    <row r="27" spans="1:14" ht="21.75" customHeight="1" x14ac:dyDescent="0.25">
      <c r="A27" s="4" t="s">
        <v>19</v>
      </c>
      <c r="B27" s="14" t="s">
        <v>47</v>
      </c>
      <c r="C27" s="29" t="s">
        <v>21</v>
      </c>
      <c r="D27" s="4" t="s">
        <v>95</v>
      </c>
      <c r="E27" s="6" t="s">
        <v>96</v>
      </c>
      <c r="F27" s="7" t="s">
        <v>105</v>
      </c>
      <c r="G27" s="8" t="s">
        <v>106</v>
      </c>
      <c r="H27" s="9" t="s">
        <v>26</v>
      </c>
      <c r="I27" s="8" t="s">
        <v>107</v>
      </c>
      <c r="J27" s="4" t="s">
        <v>51</v>
      </c>
      <c r="K27" s="4">
        <v>4</v>
      </c>
      <c r="L27" s="4">
        <v>0</v>
      </c>
      <c r="M27" s="11">
        <f t="shared" si="0"/>
        <v>4</v>
      </c>
      <c r="N27" s="12" t="str">
        <f t="shared" si="1"/>
        <v>▸ Dentro</v>
      </c>
    </row>
    <row r="28" spans="1:14" ht="21.75" customHeight="1" x14ac:dyDescent="0.25">
      <c r="A28" s="4" t="s">
        <v>19</v>
      </c>
      <c r="B28" s="14" t="s">
        <v>47</v>
      </c>
      <c r="C28" s="29" t="s">
        <v>21</v>
      </c>
      <c r="D28" s="4" t="s">
        <v>108</v>
      </c>
      <c r="E28" s="6" t="s">
        <v>109</v>
      </c>
      <c r="F28" s="7" t="s">
        <v>110</v>
      </c>
      <c r="G28" s="8" t="s">
        <v>111</v>
      </c>
      <c r="H28" s="9" t="s">
        <v>26</v>
      </c>
      <c r="I28" s="8" t="s">
        <v>54</v>
      </c>
      <c r="J28" s="4" t="s">
        <v>51</v>
      </c>
      <c r="K28" s="4">
        <v>3</v>
      </c>
      <c r="L28" s="4">
        <v>0</v>
      </c>
      <c r="M28" s="11">
        <f t="shared" si="0"/>
        <v>3</v>
      </c>
      <c r="N28" s="12" t="str">
        <f t="shared" si="1"/>
        <v>▸ Dentro</v>
      </c>
    </row>
    <row r="29" spans="1:14" ht="21.75" customHeight="1" x14ac:dyDescent="0.25">
      <c r="A29" s="4" t="s">
        <v>19</v>
      </c>
      <c r="B29" s="14" t="s">
        <v>47</v>
      </c>
      <c r="C29" s="29" t="s">
        <v>21</v>
      </c>
      <c r="D29" s="4" t="s">
        <v>112</v>
      </c>
      <c r="E29" s="6" t="s">
        <v>109</v>
      </c>
      <c r="F29" s="7" t="s">
        <v>113</v>
      </c>
      <c r="G29" s="8" t="s">
        <v>114</v>
      </c>
      <c r="H29" s="9" t="s">
        <v>26</v>
      </c>
      <c r="I29" s="8" t="s">
        <v>115</v>
      </c>
      <c r="J29" s="4" t="s">
        <v>51</v>
      </c>
      <c r="K29" s="4">
        <v>4</v>
      </c>
      <c r="L29" s="4">
        <v>0</v>
      </c>
      <c r="M29" s="11">
        <f t="shared" si="0"/>
        <v>4</v>
      </c>
      <c r="N29" s="12" t="str">
        <f t="shared" si="1"/>
        <v>▸ Dentro</v>
      </c>
    </row>
    <row r="30" spans="1:14" ht="21.75" customHeight="1" x14ac:dyDescent="0.25">
      <c r="A30" s="4" t="s">
        <v>19</v>
      </c>
      <c r="B30" s="14" t="s">
        <v>47</v>
      </c>
      <c r="C30" s="29" t="s">
        <v>21</v>
      </c>
      <c r="D30" s="4" t="s">
        <v>116</v>
      </c>
      <c r="E30" s="6" t="s">
        <v>109</v>
      </c>
      <c r="F30" s="7" t="s">
        <v>117</v>
      </c>
      <c r="G30" s="8" t="s">
        <v>118</v>
      </c>
      <c r="H30" s="9" t="s">
        <v>26</v>
      </c>
      <c r="I30" s="8" t="s">
        <v>119</v>
      </c>
      <c r="J30" s="4" t="s">
        <v>51</v>
      </c>
      <c r="K30" s="4">
        <v>3</v>
      </c>
      <c r="L30" s="4">
        <v>0</v>
      </c>
      <c r="M30" s="11">
        <f t="shared" si="0"/>
        <v>3</v>
      </c>
      <c r="N30" s="12" t="str">
        <f t="shared" si="1"/>
        <v>▸ Dentro</v>
      </c>
    </row>
    <row r="31" spans="1:14" ht="21.75" customHeight="1" x14ac:dyDescent="0.25">
      <c r="A31" s="4" t="s">
        <v>19</v>
      </c>
      <c r="B31" s="14" t="s">
        <v>47</v>
      </c>
      <c r="C31" s="15" t="s">
        <v>66</v>
      </c>
      <c r="D31" s="4" t="s">
        <v>116</v>
      </c>
      <c r="E31" s="6" t="s">
        <v>109</v>
      </c>
      <c r="F31" s="7" t="s">
        <v>120</v>
      </c>
      <c r="G31" s="8" t="s">
        <v>121</v>
      </c>
      <c r="H31" s="9" t="s">
        <v>26</v>
      </c>
      <c r="I31" s="8" t="s">
        <v>122</v>
      </c>
      <c r="J31" s="4" t="s">
        <v>51</v>
      </c>
      <c r="K31" s="4">
        <v>2</v>
      </c>
      <c r="L31" s="4">
        <v>0</v>
      </c>
      <c r="M31" s="11">
        <f t="shared" si="0"/>
        <v>2</v>
      </c>
      <c r="N31" s="12" t="str">
        <f t="shared" si="1"/>
        <v>▸ Dentro</v>
      </c>
    </row>
    <row r="32" spans="1:14" ht="21.75" customHeight="1" x14ac:dyDescent="0.25">
      <c r="A32" s="30" t="s">
        <v>123</v>
      </c>
      <c r="B32" s="30"/>
      <c r="C32" s="30"/>
      <c r="D32" s="30"/>
      <c r="E32" s="30"/>
      <c r="F32" s="30"/>
      <c r="G32" s="30"/>
      <c r="H32" s="30"/>
      <c r="I32" s="30"/>
      <c r="J32" s="30"/>
      <c r="K32" s="31">
        <f>SUM(K5:K31)</f>
        <v>108</v>
      </c>
      <c r="L32" s="31">
        <f>SUM(L5:L31)</f>
        <v>14</v>
      </c>
      <c r="M32" s="31">
        <f t="shared" si="0"/>
        <v>94</v>
      </c>
      <c r="N32" s="31" t="str">
        <f>IF(M32&lt;0,"⚠ Excedido","✓ OK")</f>
        <v>✓ OK</v>
      </c>
    </row>
  </sheetData>
  <mergeCells count="7">
    <mergeCell ref="A32:J32"/>
    <mergeCell ref="A1:N1"/>
    <mergeCell ref="A2:N2"/>
    <mergeCell ref="A3:D3"/>
    <mergeCell ref="E3:H3"/>
    <mergeCell ref="I3:J3"/>
    <mergeCell ref="K3:N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8" customWidth="1"/>
    <col min="3" max="3" width="48" customWidth="1"/>
  </cols>
  <sheetData>
    <row r="1" spans="1:3" ht="27.75" customHeight="1" x14ac:dyDescent="0.25">
      <c r="A1" s="1" t="s">
        <v>124</v>
      </c>
      <c r="B1" s="1"/>
      <c r="C1" s="1"/>
    </row>
    <row r="2" spans="1:3" x14ac:dyDescent="0.25">
      <c r="A2" s="3" t="s">
        <v>125</v>
      </c>
      <c r="B2" s="3" t="s">
        <v>126</v>
      </c>
      <c r="C2" s="3" t="s">
        <v>127</v>
      </c>
    </row>
    <row r="3" spans="1:3" x14ac:dyDescent="0.25">
      <c r="A3" s="17" t="s">
        <v>128</v>
      </c>
      <c r="B3" s="18" t="s">
        <v>20</v>
      </c>
      <c r="C3" s="17" t="s">
        <v>129</v>
      </c>
    </row>
    <row r="4" spans="1:3" x14ac:dyDescent="0.25">
      <c r="A4" s="17" t="s">
        <v>128</v>
      </c>
      <c r="B4" s="19" t="s">
        <v>39</v>
      </c>
      <c r="C4" s="17" t="s">
        <v>130</v>
      </c>
    </row>
    <row r="5" spans="1:3" x14ac:dyDescent="0.25">
      <c r="A5" s="17" t="s">
        <v>128</v>
      </c>
      <c r="B5" s="20" t="s">
        <v>131</v>
      </c>
      <c r="C5" s="17" t="s">
        <v>132</v>
      </c>
    </row>
    <row r="6" spans="1:3" x14ac:dyDescent="0.25">
      <c r="A6" s="17" t="s">
        <v>128</v>
      </c>
      <c r="B6" s="21" t="s">
        <v>47</v>
      </c>
      <c r="C6" s="17" t="s">
        <v>133</v>
      </c>
    </row>
    <row r="7" spans="1:3" x14ac:dyDescent="0.25">
      <c r="A7" s="17" t="s">
        <v>128</v>
      </c>
      <c r="B7" s="22" t="s">
        <v>134</v>
      </c>
      <c r="C7" s="17" t="s">
        <v>135</v>
      </c>
    </row>
    <row r="8" spans="1:3" x14ac:dyDescent="0.25">
      <c r="A8" s="17" t="s">
        <v>128</v>
      </c>
      <c r="B8" s="22" t="s">
        <v>136</v>
      </c>
      <c r="C8" s="17" t="s">
        <v>137</v>
      </c>
    </row>
    <row r="9" spans="1:3" x14ac:dyDescent="0.25">
      <c r="A9" s="17" t="s">
        <v>138</v>
      </c>
      <c r="B9" s="23" t="s">
        <v>21</v>
      </c>
      <c r="C9" s="17" t="s">
        <v>139</v>
      </c>
    </row>
    <row r="10" spans="1:3" x14ac:dyDescent="0.25">
      <c r="A10" s="17" t="s">
        <v>138</v>
      </c>
      <c r="B10" s="24" t="s">
        <v>66</v>
      </c>
      <c r="C10" s="17" t="s">
        <v>140</v>
      </c>
    </row>
    <row r="11" spans="1:3" x14ac:dyDescent="0.25">
      <c r="A11" s="17" t="s">
        <v>138</v>
      </c>
      <c r="B11" s="23" t="s">
        <v>141</v>
      </c>
      <c r="C11" s="17" t="s">
        <v>142</v>
      </c>
    </row>
    <row r="12" spans="1:3" x14ac:dyDescent="0.25">
      <c r="A12" s="17" t="s">
        <v>143</v>
      </c>
      <c r="B12" s="22" t="s">
        <v>94</v>
      </c>
      <c r="C12" s="17" t="s">
        <v>144</v>
      </c>
    </row>
    <row r="13" spans="1:3" x14ac:dyDescent="0.25">
      <c r="A13" s="17" t="s">
        <v>143</v>
      </c>
      <c r="B13" s="24" t="s">
        <v>19</v>
      </c>
      <c r="C13" s="17" t="s">
        <v>145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Gestão de Tarefas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</cp:lastModifiedBy>
  <cp:revision>0</cp:revision>
  <dcterms:created xsi:type="dcterms:W3CDTF">2026-06-26T22:25:09Z</dcterms:created>
  <dcterms:modified xsi:type="dcterms:W3CDTF">2026-06-26T22:35:07Z</dcterms:modified>
  <dc:language>en-US</dc:language>
</cp:coreProperties>
</file>